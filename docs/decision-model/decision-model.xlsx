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مشكلة والقرار" sheetId="1" state="visible" r:id="rId1"/>
    <sheet xmlns:r="http://schemas.openxmlformats.org/officeDocument/2006/relationships" name="المعايير والأوزان" sheetId="2" state="visible" r:id="rId2"/>
    <sheet xmlns:r="http://schemas.openxmlformats.org/officeDocument/2006/relationships" name="تقييم البدائل" sheetId="3" state="visible" r:id="rId3"/>
    <sheet xmlns:r="http://schemas.openxmlformats.org/officeDocument/2006/relationships" name="مصفوفة القرار" sheetId="4" state="visible" r:id="rId4"/>
    <sheet xmlns:r="http://schemas.openxmlformats.org/officeDocument/2006/relationships" name="تحليل الحساسية" sheetId="5" state="visible" r:id="rId5"/>
    <sheet xmlns:r="http://schemas.openxmlformats.org/officeDocument/2006/relationships" name="مسح الحساسية" sheetId="6" state="visible" r:id="rId6"/>
    <sheet xmlns:r="http://schemas.openxmlformats.org/officeDocument/2006/relationships" name="هامش الأمان والتحليل الثنائي" sheetId="7" state="visible" r:id="rId7"/>
    <sheet xmlns:r="http://schemas.openxmlformats.org/officeDocument/2006/relationships" name="خطة التنفيذ والمتابعة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i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2" fontId="0" fillId="0" borderId="0" applyAlignment="1" pivotButton="0" quotePrefix="0" xfId="0">
      <alignment horizontal="center" vertical="center" wrapText="1"/>
    </xf>
    <xf numFmtId="0" fontId="2" fillId="0" borderId="0" pivotButton="0" quotePrefix="0" xfId="0"/>
    <xf numFmtId="2" fontId="2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rightToLeft="1"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s="1" t="inlineStr">
        <is>
          <t>البند</t>
        </is>
      </c>
      <c r="B1" s="1" t="inlineStr">
        <is>
          <t>التفاصيل</t>
        </is>
      </c>
    </row>
    <row r="2">
      <c r="A2" s="2" t="inlineStr">
        <is>
          <t>المشكلة</t>
        </is>
      </c>
      <c r="B2" s="2" t="inlineStr">
        <is>
          <t>الحاجة إلى قناة تسويق رقمي لإطلاق منتج جديد بميزانية محدودة وجمهور مستهدف واضح.</t>
        </is>
      </c>
    </row>
    <row r="3">
      <c r="A3" s="2" t="inlineStr">
        <is>
          <t>القرار المطلوب</t>
        </is>
      </c>
      <c r="B3" s="2" t="inlineStr">
        <is>
          <t>اختيار قناة التسويق الرقمي الأنسب لإطلاق المنتج.</t>
        </is>
      </c>
    </row>
    <row r="4">
      <c r="A4" s="2" t="inlineStr">
        <is>
          <t>صاحب القرار</t>
        </is>
      </c>
      <c r="B4" s="2" t="inlineStr">
        <is>
          <t>[يُحدد لاحقًا]</t>
        </is>
      </c>
    </row>
    <row r="5">
      <c r="A5" s="2" t="inlineStr">
        <is>
          <t>تاريخ القرار</t>
        </is>
      </c>
      <c r="B5" s="2" t="inlineStr">
        <is>
          <t>[يُحدد لاحقًا]</t>
        </is>
      </c>
    </row>
    <row r="6">
      <c r="A6" s="2" t="inlineStr">
        <is>
          <t>القيود</t>
        </is>
      </c>
      <c r="B6" s="2" t="inlineStr">
        <is>
          <t>[يُحدد لاحقًا]</t>
        </is>
      </c>
    </row>
    <row r="7">
      <c r="A7" s="2" t="inlineStr">
        <is>
          <t>الافتراضات</t>
        </is>
      </c>
      <c r="B7" s="2" t="inlineStr">
        <is>
          <t>الدرجات على مقياس 1 إلى 10 حيث 10 = الأفضل، والمعايير مستقلة ومجموع أوزانها 1.00.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rightToLeft="1"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40" customWidth="1" min="3" max="3"/>
  </cols>
  <sheetData>
    <row r="1">
      <c r="A1" s="1" t="inlineStr">
        <is>
          <t>المعيار</t>
        </is>
      </c>
      <c r="B1" s="1" t="inlineStr">
        <is>
          <t>الوزن</t>
        </is>
      </c>
      <c r="C1" s="1" t="inlineStr">
        <is>
          <t>ملاحظات</t>
        </is>
      </c>
    </row>
    <row r="2">
      <c r="A2" t="inlineStr">
        <is>
          <t>التكلفة</t>
        </is>
      </c>
      <c r="B2" s="3" t="n">
        <v>0.25</v>
      </c>
      <c r="C2" t="inlineStr"/>
    </row>
    <row r="3">
      <c r="A3" t="inlineStr">
        <is>
          <t>الوصول للجمهور المستهدف</t>
        </is>
      </c>
      <c r="B3" s="3" t="n">
        <v>0.3</v>
      </c>
      <c r="C3" t="inlineStr"/>
    </row>
    <row r="4">
      <c r="A4" t="inlineStr">
        <is>
          <t>سرعة النتائج</t>
        </is>
      </c>
      <c r="B4" s="3" t="n">
        <v>0.2</v>
      </c>
      <c r="C4" t="inlineStr"/>
    </row>
    <row r="5">
      <c r="A5" t="inlineStr">
        <is>
          <t>قابلية القياس</t>
        </is>
      </c>
      <c r="B5" s="3" t="n">
        <v>0.15</v>
      </c>
      <c r="C5" t="inlineStr"/>
    </row>
    <row r="6">
      <c r="A6" t="inlineStr">
        <is>
          <t>الاستدامة</t>
        </is>
      </c>
      <c r="B6" s="3" t="n">
        <v>0.1</v>
      </c>
      <c r="C6" t="inlineStr"/>
    </row>
    <row r="7">
      <c r="A7" s="4" t="inlineStr">
        <is>
          <t>المجموع</t>
        </is>
      </c>
      <c r="B7" s="5">
        <f>SUM(B2:B6)</f>
        <v/>
      </c>
      <c r="C7" s="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rightToLeft="1"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المعيار</t>
        </is>
      </c>
      <c r="B1" s="1" t="inlineStr">
        <is>
          <t>الوزن</t>
        </is>
      </c>
      <c r="C1" s="1" t="inlineStr">
        <is>
          <t>البديل مدفوعة</t>
        </is>
      </c>
      <c r="D1" s="1" t="inlineStr">
        <is>
          <t>البديل محتوى</t>
        </is>
      </c>
      <c r="E1" s="1" t="inlineStr">
        <is>
          <t>البديل مؤثرون</t>
        </is>
      </c>
    </row>
    <row r="2">
      <c r="A2" t="inlineStr">
        <is>
          <t>التكلفة</t>
        </is>
      </c>
      <c r="B2" s="3">
        <f>'المعايير والأوزان'!B2</f>
        <v/>
      </c>
      <c r="C2" s="6" t="n">
        <v>6</v>
      </c>
      <c r="D2" s="6" t="n">
        <v>9</v>
      </c>
      <c r="E2" s="6" t="n">
        <v>5</v>
      </c>
    </row>
    <row r="3">
      <c r="A3" t="inlineStr">
        <is>
          <t>الوصول للجمهور المستهدف</t>
        </is>
      </c>
      <c r="B3" s="3">
        <f>'المعايير والأوزان'!B3</f>
        <v/>
      </c>
      <c r="C3" s="6" t="n">
        <v>9</v>
      </c>
      <c r="D3" s="6" t="n">
        <v>6</v>
      </c>
      <c r="E3" s="6" t="n">
        <v>8</v>
      </c>
    </row>
    <row r="4">
      <c r="A4" t="inlineStr">
        <is>
          <t>سرعة النتائج</t>
        </is>
      </c>
      <c r="B4" s="3">
        <f>'المعايير والأوزان'!B4</f>
        <v/>
      </c>
      <c r="C4" s="6" t="n">
        <v>9</v>
      </c>
      <c r="D4" s="6" t="n">
        <v>4</v>
      </c>
      <c r="E4" s="6" t="n">
        <v>7</v>
      </c>
    </row>
    <row r="5">
      <c r="A5" t="inlineStr">
        <is>
          <t>قابلية القياس</t>
        </is>
      </c>
      <c r="B5" s="3">
        <f>'المعايير والأوزان'!B5</f>
        <v/>
      </c>
      <c r="C5" s="6" t="n">
        <v>9</v>
      </c>
      <c r="D5" s="6" t="n">
        <v>6</v>
      </c>
      <c r="E5" s="6" t="n">
        <v>5</v>
      </c>
    </row>
    <row r="6">
      <c r="A6" t="inlineStr">
        <is>
          <t>الاستدامة</t>
        </is>
      </c>
      <c r="B6" s="3">
        <f>'المعايير والأوزان'!B6</f>
        <v/>
      </c>
      <c r="C6" s="6" t="n">
        <v>5</v>
      </c>
      <c r="D6" s="6" t="n">
        <v>9</v>
      </c>
      <c r="E6" s="6" t="n">
        <v>4</v>
      </c>
    </row>
    <row r="7">
      <c r="A7" s="4" t="inlineStr">
        <is>
          <t>الدرجة المرجحة</t>
        </is>
      </c>
      <c r="B7" s="7" t="inlineStr"/>
      <c r="C7" s="5">
        <f>SUMPRODUCT($B$2:$B$6,C2:C6)</f>
        <v/>
      </c>
      <c r="D7" s="5">
        <f>SUMPRODUCT($B$2:$B$6,D2:D6)</f>
        <v/>
      </c>
      <c r="E7" s="5">
        <f>SUMPRODUCT($B$2:$B$6,E2:E6)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rightToLeft="1"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6" customWidth="1" min="4" max="4"/>
  </cols>
  <sheetData>
    <row r="1">
      <c r="A1" s="1" t="inlineStr">
        <is>
          <t>البديل</t>
        </is>
      </c>
      <c r="B1" s="1" t="inlineStr">
        <is>
          <t>الدرجة</t>
        </is>
      </c>
      <c r="C1" s="1" t="inlineStr">
        <is>
          <t>الترتيب</t>
        </is>
      </c>
      <c r="D1" s="1" t="inlineStr">
        <is>
          <t>القرار</t>
        </is>
      </c>
    </row>
    <row r="2">
      <c r="A2" s="6" t="inlineStr">
        <is>
          <t>مدفوعة</t>
        </is>
      </c>
      <c r="B2" s="3">
        <f>'تقييم البدائل'!C7</f>
        <v/>
      </c>
      <c r="C2" s="6">
        <f>RANK(B2,$B$2:$B$4)</f>
        <v/>
      </c>
      <c r="D2" s="6">
        <f>IF(C2=1,"✅ مختار","")</f>
        <v/>
      </c>
    </row>
    <row r="3">
      <c r="A3" s="6" t="inlineStr">
        <is>
          <t>محتوى</t>
        </is>
      </c>
      <c r="B3" s="3">
        <f>'تقييم البدائل'!D7</f>
        <v/>
      </c>
      <c r="C3" s="6">
        <f>RANK(B3,$B$2:$B$4)</f>
        <v/>
      </c>
      <c r="D3" s="6">
        <f>IF(C3=1,"✅ مختار","")</f>
        <v/>
      </c>
    </row>
    <row r="4">
      <c r="A4" s="6" t="inlineStr">
        <is>
          <t>مؤثرون</t>
        </is>
      </c>
      <c r="B4" s="3">
        <f>'تقييم البدائل'!E7</f>
        <v/>
      </c>
      <c r="C4" s="6">
        <f>RANK(B4,$B$2:$B$4)</f>
        <v/>
      </c>
      <c r="D4" s="6">
        <f>IF(C4=1,"✅ مختار","")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3"/>
  <sheetViews>
    <sheetView rightToLeft="1"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6" customWidth="1" min="6" max="6"/>
  </cols>
  <sheetData>
    <row r="1">
      <c r="A1" s="8" t="inlineStr">
        <is>
          <t>تغيير كل وزن بنسبة ±10% ثم إعادة التطبيع إلى 1.00. قيم محسوبة بالسكربت.</t>
        </is>
      </c>
    </row>
    <row r="2">
      <c r="A2" s="1" t="inlineStr">
        <is>
          <t>السيناريو</t>
        </is>
      </c>
      <c r="B2" s="1" t="inlineStr">
        <is>
          <t>البديل مدفوعة</t>
        </is>
      </c>
      <c r="C2" s="1" t="inlineStr">
        <is>
          <t>البديل محتوى</t>
        </is>
      </c>
      <c r="D2" s="1" t="inlineStr">
        <is>
          <t>البديل مؤثرون</t>
        </is>
      </c>
      <c r="E2" s="1" t="inlineStr">
        <is>
          <t>الفائز</t>
        </is>
      </c>
      <c r="F2" s="1" t="inlineStr">
        <is>
          <t>تغيّر الفائز؟</t>
        </is>
      </c>
    </row>
    <row r="3">
      <c r="A3" s="6" t="inlineStr">
        <is>
          <t>الأساس</t>
        </is>
      </c>
      <c r="B3" s="3" t="n">
        <v>7.85</v>
      </c>
      <c r="C3" s="3" t="n">
        <v>6.65</v>
      </c>
      <c r="D3" s="3" t="n">
        <v>6.2</v>
      </c>
      <c r="E3" s="6" t="inlineStr">
        <is>
          <t>مدفوعة</t>
        </is>
      </c>
      <c r="F3" s="6" t="inlineStr">
        <is>
          <t>لا</t>
        </is>
      </c>
    </row>
    <row r="4">
      <c r="A4" s="6" t="inlineStr">
        <is>
          <t>التكلفة -10%</t>
        </is>
      </c>
      <c r="B4" s="3" t="n">
        <v>7.9</v>
      </c>
      <c r="C4" s="3" t="n">
        <v>6.59</v>
      </c>
      <c r="D4" s="3" t="n">
        <v>6.23</v>
      </c>
      <c r="E4" s="6" t="inlineStr">
        <is>
          <t>مدفوعة</t>
        </is>
      </c>
      <c r="F4" s="6" t="inlineStr">
        <is>
          <t>لا</t>
        </is>
      </c>
    </row>
    <row r="5">
      <c r="A5" s="6" t="inlineStr">
        <is>
          <t>التكلفة +10%</t>
        </is>
      </c>
      <c r="B5" s="3" t="n">
        <v>7.8</v>
      </c>
      <c r="C5" s="3" t="n">
        <v>6.71</v>
      </c>
      <c r="D5" s="3" t="n">
        <v>6.17</v>
      </c>
      <c r="E5" s="6" t="inlineStr">
        <is>
          <t>مدفوعة</t>
        </is>
      </c>
      <c r="F5" s="6" t="inlineStr">
        <is>
          <t>لا</t>
        </is>
      </c>
    </row>
    <row r="6">
      <c r="A6" s="6" t="inlineStr">
        <is>
          <t>الوصول للجمهور المستهدف -10%</t>
        </is>
      </c>
      <c r="B6" s="3" t="n">
        <v>7.81</v>
      </c>
      <c r="C6" s="3" t="n">
        <v>6.67</v>
      </c>
      <c r="D6" s="3" t="n">
        <v>6.14</v>
      </c>
      <c r="E6" s="6" t="inlineStr">
        <is>
          <t>مدفوعة</t>
        </is>
      </c>
      <c r="F6" s="6" t="inlineStr">
        <is>
          <t>لا</t>
        </is>
      </c>
    </row>
    <row r="7">
      <c r="A7" s="6" t="inlineStr">
        <is>
          <t>الوصول للجمهور المستهدف +10%</t>
        </is>
      </c>
      <c r="B7" s="3" t="n">
        <v>7.88</v>
      </c>
      <c r="C7" s="3" t="n">
        <v>6.63</v>
      </c>
      <c r="D7" s="3" t="n">
        <v>6.25</v>
      </c>
      <c r="E7" s="6" t="inlineStr">
        <is>
          <t>مدفوعة</t>
        </is>
      </c>
      <c r="F7" s="6" t="inlineStr">
        <is>
          <t>لا</t>
        </is>
      </c>
    </row>
    <row r="8">
      <c r="A8" s="6" t="inlineStr">
        <is>
          <t>سرعة النتائج -10%</t>
        </is>
      </c>
      <c r="B8" s="3" t="n">
        <v>7.83</v>
      </c>
      <c r="C8" s="3" t="n">
        <v>6.7</v>
      </c>
      <c r="D8" s="3" t="n">
        <v>6.18</v>
      </c>
      <c r="E8" s="6" t="inlineStr">
        <is>
          <t>مدفوعة</t>
        </is>
      </c>
      <c r="F8" s="6" t="inlineStr">
        <is>
          <t>لا</t>
        </is>
      </c>
    </row>
    <row r="9">
      <c r="A9" s="6" t="inlineStr">
        <is>
          <t>سرعة النتائج +10%</t>
        </is>
      </c>
      <c r="B9" s="3" t="n">
        <v>7.87</v>
      </c>
      <c r="C9" s="3" t="n">
        <v>6.6</v>
      </c>
      <c r="D9" s="3" t="n">
        <v>6.22</v>
      </c>
      <c r="E9" s="6" t="inlineStr">
        <is>
          <t>مدفوعة</t>
        </is>
      </c>
      <c r="F9" s="6" t="inlineStr">
        <is>
          <t>لا</t>
        </is>
      </c>
    </row>
    <row r="10">
      <c r="A10" s="6" t="inlineStr">
        <is>
          <t>قابلية القياس -10%</t>
        </is>
      </c>
      <c r="B10" s="3" t="n">
        <v>7.83</v>
      </c>
      <c r="C10" s="3" t="n">
        <v>6.66</v>
      </c>
      <c r="D10" s="3" t="n">
        <v>6.22</v>
      </c>
      <c r="E10" s="6" t="inlineStr">
        <is>
          <t>مدفوعة</t>
        </is>
      </c>
      <c r="F10" s="6" t="inlineStr">
        <is>
          <t>لا</t>
        </is>
      </c>
    </row>
    <row r="11">
      <c r="A11" s="6" t="inlineStr">
        <is>
          <t>قابلية القياس +10%</t>
        </is>
      </c>
      <c r="B11" s="3" t="n">
        <v>7.87</v>
      </c>
      <c r="C11" s="3" t="n">
        <v>6.64</v>
      </c>
      <c r="D11" s="3" t="n">
        <v>6.18</v>
      </c>
      <c r="E11" s="6" t="inlineStr">
        <is>
          <t>مدفوعة</t>
        </is>
      </c>
      <c r="F11" s="6" t="inlineStr">
        <is>
          <t>لا</t>
        </is>
      </c>
    </row>
    <row r="12">
      <c r="A12" s="6" t="inlineStr">
        <is>
          <t>الاستدامة -10%</t>
        </is>
      </c>
      <c r="B12" s="3" t="n">
        <v>7.88</v>
      </c>
      <c r="C12" s="3" t="n">
        <v>6.63</v>
      </c>
      <c r="D12" s="3" t="n">
        <v>6.22</v>
      </c>
      <c r="E12" s="6" t="inlineStr">
        <is>
          <t>مدفوعة</t>
        </is>
      </c>
      <c r="F12" s="6" t="inlineStr">
        <is>
          <t>لا</t>
        </is>
      </c>
    </row>
    <row r="13">
      <c r="A13" s="6" t="inlineStr">
        <is>
          <t>الاستدامة +10%</t>
        </is>
      </c>
      <c r="B13" s="3" t="n">
        <v>7.82</v>
      </c>
      <c r="C13" s="3" t="n">
        <v>6.67</v>
      </c>
      <c r="D13" s="3" t="n">
        <v>6.18</v>
      </c>
      <c r="E13" s="6" t="inlineStr">
        <is>
          <t>مدفوعة</t>
        </is>
      </c>
      <c r="F13" s="6" t="inlineStr">
        <is>
          <t>لا</t>
        </is>
      </c>
    </row>
  </sheetData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7"/>
  <sheetViews>
    <sheetView rightToLeft="1"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8" customWidth="1" min="13" max="13"/>
    <col width="14" customWidth="1" min="14" max="14"/>
  </cols>
  <sheetData>
    <row r="1">
      <c r="A1" s="8" t="inlineStr">
        <is>
          <t>الخانات تُظهر الفائز عند كل وزن للمعيار، مع إعادة تطبيع بقية الأوزان تناسبيًا. نقطة الانقلاب محسوبة تحليليًا لأن الدرجات خطية في الوزن.</t>
        </is>
      </c>
    </row>
    <row r="2">
      <c r="A2" s="1" t="inlineStr">
        <is>
          <t>المعيار</t>
        </is>
      </c>
      <c r="B2" s="1" t="inlineStr">
        <is>
          <t>الوزن الحالي</t>
        </is>
      </c>
      <c r="C2" s="1" t="inlineStr">
        <is>
          <t>0.05</t>
        </is>
      </c>
      <c r="D2" s="1" t="inlineStr">
        <is>
          <t>0.10</t>
        </is>
      </c>
      <c r="E2" s="1" t="inlineStr">
        <is>
          <t>0.15</t>
        </is>
      </c>
      <c r="F2" s="1" t="inlineStr">
        <is>
          <t>0.20</t>
        </is>
      </c>
      <c r="G2" s="1" t="inlineStr">
        <is>
          <t>0.25</t>
        </is>
      </c>
      <c r="H2" s="1" t="inlineStr">
        <is>
          <t>0.30</t>
        </is>
      </c>
      <c r="I2" s="1" t="inlineStr">
        <is>
          <t>0.35</t>
        </is>
      </c>
      <c r="J2" s="1" t="inlineStr">
        <is>
          <t>0.40</t>
        </is>
      </c>
      <c r="K2" s="1" t="inlineStr">
        <is>
          <t>0.45</t>
        </is>
      </c>
      <c r="L2" s="1" t="inlineStr">
        <is>
          <t>0.50</t>
        </is>
      </c>
      <c r="M2" s="1" t="inlineStr">
        <is>
          <t>نقطة الانقلاب</t>
        </is>
      </c>
      <c r="N2" s="1" t="inlineStr">
        <is>
          <t>الفائز بعدها</t>
        </is>
      </c>
    </row>
    <row r="3">
      <c r="A3" s="6" t="inlineStr">
        <is>
          <t>التكلفة</t>
        </is>
      </c>
      <c r="B3" s="6" t="inlineStr">
        <is>
          <t>0.25</t>
        </is>
      </c>
      <c r="C3" s="6" t="inlineStr">
        <is>
          <t>مدفوعة</t>
        </is>
      </c>
      <c r="D3" s="6" t="inlineStr">
        <is>
          <t>مدفوعة</t>
        </is>
      </c>
      <c r="E3" s="6" t="inlineStr">
        <is>
          <t>مدفوعة</t>
        </is>
      </c>
      <c r="F3" s="6" t="inlineStr">
        <is>
          <t>مدفوعة</t>
        </is>
      </c>
      <c r="G3" s="6" t="inlineStr">
        <is>
          <t>مدفوعة</t>
        </is>
      </c>
      <c r="H3" s="6" t="inlineStr">
        <is>
          <t>مدفوعة</t>
        </is>
      </c>
      <c r="I3" s="6" t="inlineStr">
        <is>
          <t>مدفوعة</t>
        </is>
      </c>
      <c r="J3" s="6" t="inlineStr">
        <is>
          <t>مدفوعة</t>
        </is>
      </c>
      <c r="K3" s="6" t="inlineStr">
        <is>
          <t>مدفوعة</t>
        </is>
      </c>
      <c r="L3" s="6" t="inlineStr">
        <is>
          <t>محتوى</t>
        </is>
      </c>
      <c r="M3" s="6" t="inlineStr">
        <is>
          <t>0.464</t>
        </is>
      </c>
      <c r="N3" s="6" t="inlineStr">
        <is>
          <t>محتوى</t>
        </is>
      </c>
    </row>
    <row r="4">
      <c r="A4" s="6" t="inlineStr">
        <is>
          <t>الوصول للجمهور المستهدف</t>
        </is>
      </c>
      <c r="B4" s="6" t="inlineStr">
        <is>
          <t>0.30</t>
        </is>
      </c>
      <c r="C4" s="6" t="inlineStr">
        <is>
          <t>مدفوعة</t>
        </is>
      </c>
      <c r="D4" s="6" t="inlineStr">
        <is>
          <t>مدفوعة</t>
        </is>
      </c>
      <c r="E4" s="6" t="inlineStr">
        <is>
          <t>مدفوعة</t>
        </is>
      </c>
      <c r="F4" s="6" t="inlineStr">
        <is>
          <t>مدفوعة</t>
        </is>
      </c>
      <c r="G4" s="6" t="inlineStr">
        <is>
          <t>مدفوعة</t>
        </is>
      </c>
      <c r="H4" s="6" t="inlineStr">
        <is>
          <t>مدفوعة</t>
        </is>
      </c>
      <c r="I4" s="6" t="inlineStr">
        <is>
          <t>مدفوعة</t>
        </is>
      </c>
      <c r="J4" s="6" t="inlineStr">
        <is>
          <t>مدفوعة</t>
        </is>
      </c>
      <c r="K4" s="6" t="inlineStr">
        <is>
          <t>مدفوعة</t>
        </is>
      </c>
      <c r="L4" s="6" t="inlineStr">
        <is>
          <t>مدفوعة</t>
        </is>
      </c>
      <c r="M4" s="6" t="inlineStr">
        <is>
          <t>لا يوجد ضمن 0–1</t>
        </is>
      </c>
      <c r="N4" s="6" t="inlineStr">
        <is>
          <t>—</t>
        </is>
      </c>
    </row>
    <row r="5">
      <c r="A5" s="6" t="inlineStr">
        <is>
          <t>سرعة النتائج</t>
        </is>
      </c>
      <c r="B5" s="6" t="inlineStr">
        <is>
          <t>0.20</t>
        </is>
      </c>
      <c r="C5" s="6" t="inlineStr">
        <is>
          <t>مدفوعة</t>
        </is>
      </c>
      <c r="D5" s="6" t="inlineStr">
        <is>
          <t>مدفوعة</t>
        </is>
      </c>
      <c r="E5" s="6" t="inlineStr">
        <is>
          <t>مدفوعة</t>
        </is>
      </c>
      <c r="F5" s="6" t="inlineStr">
        <is>
          <t>مدفوعة</t>
        </is>
      </c>
      <c r="G5" s="6" t="inlineStr">
        <is>
          <t>مدفوعة</t>
        </is>
      </c>
      <c r="H5" s="6" t="inlineStr">
        <is>
          <t>مدفوعة</t>
        </is>
      </c>
      <c r="I5" s="6" t="inlineStr">
        <is>
          <t>مدفوعة</t>
        </is>
      </c>
      <c r="J5" s="6" t="inlineStr">
        <is>
          <t>مدفوعة</t>
        </is>
      </c>
      <c r="K5" s="6" t="inlineStr">
        <is>
          <t>مدفوعة</t>
        </is>
      </c>
      <c r="L5" s="6" t="inlineStr">
        <is>
          <t>مدفوعة</t>
        </is>
      </c>
      <c r="M5" s="6" t="inlineStr">
        <is>
          <t>لا يوجد ضمن 0–1</t>
        </is>
      </c>
      <c r="N5" s="6" t="inlineStr">
        <is>
          <t>—</t>
        </is>
      </c>
    </row>
    <row r="6">
      <c r="A6" s="6" t="inlineStr">
        <is>
          <t>قابلية القياس</t>
        </is>
      </c>
      <c r="B6" s="6" t="inlineStr">
        <is>
          <t>0.15</t>
        </is>
      </c>
      <c r="C6" s="6" t="inlineStr">
        <is>
          <t>مدفوعة</t>
        </is>
      </c>
      <c r="D6" s="6" t="inlineStr">
        <is>
          <t>مدفوعة</t>
        </is>
      </c>
      <c r="E6" s="6" t="inlineStr">
        <is>
          <t>مدفوعة</t>
        </is>
      </c>
      <c r="F6" s="6" t="inlineStr">
        <is>
          <t>مدفوعة</t>
        </is>
      </c>
      <c r="G6" s="6" t="inlineStr">
        <is>
          <t>مدفوعة</t>
        </is>
      </c>
      <c r="H6" s="6" t="inlineStr">
        <is>
          <t>مدفوعة</t>
        </is>
      </c>
      <c r="I6" s="6" t="inlineStr">
        <is>
          <t>مدفوعة</t>
        </is>
      </c>
      <c r="J6" s="6" t="inlineStr">
        <is>
          <t>مدفوعة</t>
        </is>
      </c>
      <c r="K6" s="6" t="inlineStr">
        <is>
          <t>مدفوعة</t>
        </is>
      </c>
      <c r="L6" s="6" t="inlineStr">
        <is>
          <t>مدفوعة</t>
        </is>
      </c>
      <c r="M6" s="6" t="inlineStr">
        <is>
          <t>لا يوجد ضمن 0–1</t>
        </is>
      </c>
      <c r="N6" s="6" t="inlineStr">
        <is>
          <t>—</t>
        </is>
      </c>
    </row>
    <row r="7">
      <c r="A7" s="6" t="inlineStr">
        <is>
          <t>الاستدامة</t>
        </is>
      </c>
      <c r="B7" s="6" t="inlineStr">
        <is>
          <t>0.10</t>
        </is>
      </c>
      <c r="C7" s="6" t="inlineStr">
        <is>
          <t>مدفوعة</t>
        </is>
      </c>
      <c r="D7" s="6" t="inlineStr">
        <is>
          <t>مدفوعة</t>
        </is>
      </c>
      <c r="E7" s="6" t="inlineStr">
        <is>
          <t>مدفوعة</t>
        </is>
      </c>
      <c r="F7" s="6" t="inlineStr">
        <is>
          <t>مدفوعة</t>
        </is>
      </c>
      <c r="G7" s="6" t="inlineStr">
        <is>
          <t>مدفوعة</t>
        </is>
      </c>
      <c r="H7" s="6" t="inlineStr">
        <is>
          <t>مدفوعة</t>
        </is>
      </c>
      <c r="I7" s="6" t="inlineStr">
        <is>
          <t>محتوى</t>
        </is>
      </c>
      <c r="J7" s="6" t="inlineStr">
        <is>
          <t>محتوى</t>
        </is>
      </c>
      <c r="K7" s="6" t="inlineStr">
        <is>
          <t>محتوى</t>
        </is>
      </c>
      <c r="L7" s="6" t="inlineStr">
        <is>
          <t>محتوى</t>
        </is>
      </c>
      <c r="M7" s="6" t="inlineStr">
        <is>
          <t>0.308</t>
        </is>
      </c>
      <c r="N7" s="6" t="inlineStr">
        <is>
          <t>محتوى</t>
        </is>
      </c>
    </row>
  </sheetData>
  <mergeCells count="1">
    <mergeCell ref="A1:N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6"/>
  <sheetViews>
    <sheetView rightToLeft="1"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8" t="inlineStr">
        <is>
          <t>هامش الأمان: أكبر تغيير نسبي ±ε لكل وزن على حدة (في أي اتجاه ومهما كانت التركيبة) يصمد أمامه الفائز. الانقلاب الثنائي: رفع وزني معيارين بمقدار t لكل منهما مع تطبيع البقية.</t>
        </is>
      </c>
    </row>
    <row r="2">
      <c r="A2" s="1" t="inlineStr">
        <is>
          <t>المنافس</t>
        </is>
      </c>
      <c r="B2" s="1" t="inlineStr">
        <is>
          <t>هامش الأمان ε*</t>
        </is>
      </c>
      <c r="C2" s="1" t="inlineStr">
        <is>
          <t>أسوأ وزن: التكلفة</t>
        </is>
      </c>
      <c r="D2" s="1" t="inlineStr">
        <is>
          <t>أسوأ وزن: الوصول للجمهور المستهدف</t>
        </is>
      </c>
      <c r="E2" s="1" t="inlineStr">
        <is>
          <t>أسوأ وزن: سرعة النتائج</t>
        </is>
      </c>
      <c r="F2" s="1" t="inlineStr">
        <is>
          <t>أسوأ وزن: قابلية القياس</t>
        </is>
      </c>
      <c r="G2" s="1" t="inlineStr">
        <is>
          <t>أسوأ وزن: الاستدامة</t>
        </is>
      </c>
      <c r="H2" s="1" t="inlineStr">
        <is>
          <t>الفارق عند أسوأ حالة</t>
        </is>
      </c>
    </row>
    <row r="3">
      <c r="A3" s="6" t="inlineStr">
        <is>
          <t>محتوى</t>
        </is>
      </c>
      <c r="B3" s="6" t="inlineStr">
        <is>
          <t>34.3%</t>
        </is>
      </c>
      <c r="C3" s="6" t="inlineStr">
        <is>
          <t>0.374</t>
        </is>
      </c>
      <c r="D3" s="6" t="inlineStr">
        <is>
          <t>0.220</t>
        </is>
      </c>
      <c r="E3" s="6" t="inlineStr">
        <is>
          <t>0.146</t>
        </is>
      </c>
      <c r="F3" s="6" t="inlineStr">
        <is>
          <t>0.110</t>
        </is>
      </c>
      <c r="G3" s="6" t="inlineStr">
        <is>
          <t>0.150</t>
        </is>
      </c>
      <c r="H3" s="6" t="inlineStr">
        <is>
          <t>0.00</t>
        </is>
      </c>
    </row>
    <row r="4">
      <c r="A4" s="6" t="inlineStr">
        <is>
          <t>مؤثرون</t>
        </is>
      </c>
      <c r="B4" s="6" t="inlineStr">
        <is>
          <t>100.0%</t>
        </is>
      </c>
      <c r="C4" s="6" t="inlineStr">
        <is>
          <t>—</t>
        </is>
      </c>
      <c r="D4" s="6" t="inlineStr">
        <is>
          <t>—</t>
        </is>
      </c>
      <c r="E4" s="6" t="inlineStr">
        <is>
          <t>—</t>
        </is>
      </c>
      <c r="F4" s="6" t="inlineStr">
        <is>
          <t>—</t>
        </is>
      </c>
      <c r="G4" s="6" t="inlineStr">
        <is>
          <t>—</t>
        </is>
      </c>
      <c r="H4" s="6" t="inlineStr">
        <is>
          <t>لا ينقلب</t>
        </is>
      </c>
    </row>
    <row r="5">
      <c r="A5" s="6" t="n"/>
      <c r="B5" s="6" t="n"/>
      <c r="C5" s="6" t="n"/>
      <c r="D5" s="6" t="n"/>
      <c r="E5" s="6" t="n"/>
      <c r="F5" s="6" t="n"/>
      <c r="G5" s="6" t="n"/>
      <c r="H5" s="6" t="n"/>
    </row>
    <row r="6">
      <c r="A6" s="1" t="inlineStr">
        <is>
          <t>المعيار الأول</t>
        </is>
      </c>
      <c r="B6" s="1" t="inlineStr">
        <is>
          <t>المعيار الثاني</t>
        </is>
      </c>
      <c r="C6" s="1" t="inlineStr">
        <is>
          <t>نقطة الانقلاب المشتركة t</t>
        </is>
      </c>
      <c r="D6" s="1" t="inlineStr">
        <is>
          <t>الفائز بعدها</t>
        </is>
      </c>
      <c r="E6" s="6" t="n"/>
      <c r="F6" s="6" t="n"/>
      <c r="G6" s="6" t="n"/>
      <c r="H6" s="6" t="n"/>
    </row>
    <row r="7">
      <c r="A7" s="6" t="inlineStr">
        <is>
          <t>التكلفة</t>
        </is>
      </c>
      <c r="B7" s="6" t="inlineStr">
        <is>
          <t>الوصول للجمهور المستهدف</t>
        </is>
      </c>
      <c r="C7" s="6" t="inlineStr">
        <is>
          <t>لا يوجد</t>
        </is>
      </c>
      <c r="D7" s="6" t="inlineStr">
        <is>
          <t>—</t>
        </is>
      </c>
      <c r="E7" s="6" t="n"/>
      <c r="F7" s="6" t="n"/>
      <c r="G7" s="6" t="n"/>
      <c r="H7" s="6" t="n"/>
    </row>
    <row r="8">
      <c r="A8" s="6" t="inlineStr">
        <is>
          <t>التكلفة</t>
        </is>
      </c>
      <c r="B8" s="6" t="inlineStr">
        <is>
          <t>سرعة النتائج</t>
        </is>
      </c>
      <c r="C8" s="6" t="inlineStr">
        <is>
          <t>لا يوجد</t>
        </is>
      </c>
      <c r="D8" s="6" t="inlineStr">
        <is>
          <t>—</t>
        </is>
      </c>
      <c r="E8" s="6" t="n"/>
      <c r="F8" s="6" t="n"/>
      <c r="G8" s="6" t="n"/>
      <c r="H8" s="6" t="n"/>
    </row>
    <row r="9">
      <c r="A9" s="6" t="inlineStr">
        <is>
          <t>التكلفة</t>
        </is>
      </c>
      <c r="B9" s="6" t="inlineStr">
        <is>
          <t>قابلية القياس</t>
        </is>
      </c>
      <c r="C9" s="6" t="inlineStr">
        <is>
          <t>0.2400</t>
        </is>
      </c>
      <c r="D9" s="6" t="inlineStr">
        <is>
          <t>محتوى</t>
        </is>
      </c>
      <c r="E9" s="6" t="n"/>
      <c r="F9" s="6" t="n"/>
      <c r="G9" s="6" t="n"/>
      <c r="H9" s="6" t="n"/>
    </row>
    <row r="10">
      <c r="A10" s="6" t="inlineStr">
        <is>
          <t>التكلفة</t>
        </is>
      </c>
      <c r="B10" s="6" t="inlineStr">
        <is>
          <t>الاستدامة</t>
        </is>
      </c>
      <c r="C10" s="6" t="inlineStr">
        <is>
          <t>0.0843</t>
        </is>
      </c>
      <c r="D10" s="6" t="inlineStr">
        <is>
          <t>محتوى</t>
        </is>
      </c>
      <c r="E10" s="6" t="n"/>
      <c r="F10" s="6" t="n"/>
      <c r="G10" s="6" t="n"/>
      <c r="H10" s="6" t="n"/>
    </row>
    <row r="11">
      <c r="A11" s="6" t="inlineStr">
        <is>
          <t>الوصول للجمهور المستهدف</t>
        </is>
      </c>
      <c r="B11" s="6" t="inlineStr">
        <is>
          <t>سرعة النتائج</t>
        </is>
      </c>
      <c r="C11" s="6" t="inlineStr">
        <is>
          <t>لا يوجد</t>
        </is>
      </c>
      <c r="D11" s="6" t="inlineStr">
        <is>
          <t>—</t>
        </is>
      </c>
      <c r="E11" s="6" t="n"/>
      <c r="F11" s="6" t="n"/>
      <c r="G11" s="6" t="n"/>
      <c r="H11" s="6" t="n"/>
    </row>
    <row r="12">
      <c r="A12" s="6" t="inlineStr">
        <is>
          <t>الوصول للجمهور المستهدف</t>
        </is>
      </c>
      <c r="B12" s="6" t="inlineStr">
        <is>
          <t>قابلية القياس</t>
        </is>
      </c>
      <c r="C12" s="6" t="inlineStr">
        <is>
          <t>لا يوجد</t>
        </is>
      </c>
      <c r="D12" s="6" t="inlineStr">
        <is>
          <t>—</t>
        </is>
      </c>
      <c r="E12" s="6" t="n"/>
      <c r="F12" s="6" t="n"/>
      <c r="G12" s="6" t="n"/>
      <c r="H12" s="6" t="n"/>
    </row>
    <row r="13">
      <c r="A13" s="6" t="inlineStr">
        <is>
          <t>الوصول للجمهور المستهدف</t>
        </is>
      </c>
      <c r="B13" s="6" t="inlineStr">
        <is>
          <t>الاستدامة</t>
        </is>
      </c>
      <c r="C13" s="6" t="inlineStr">
        <is>
          <t>لا يوجد</t>
        </is>
      </c>
      <c r="D13" s="6" t="inlineStr">
        <is>
          <t>—</t>
        </is>
      </c>
      <c r="E13" s="6" t="n"/>
      <c r="F13" s="6" t="n"/>
      <c r="G13" s="6" t="n"/>
      <c r="H13" s="6" t="n"/>
    </row>
    <row r="14">
      <c r="A14" s="6" t="inlineStr">
        <is>
          <t>سرعة النتائج</t>
        </is>
      </c>
      <c r="B14" s="6" t="inlineStr">
        <is>
          <t>قابلية القياس</t>
        </is>
      </c>
      <c r="C14" s="6" t="inlineStr">
        <is>
          <t>لا يوجد</t>
        </is>
      </c>
      <c r="D14" s="6" t="inlineStr">
        <is>
          <t>—</t>
        </is>
      </c>
      <c r="E14" s="6" t="n"/>
      <c r="F14" s="6" t="n"/>
      <c r="G14" s="6" t="n"/>
      <c r="H14" s="6" t="n"/>
    </row>
    <row r="15">
      <c r="A15" s="6" t="inlineStr">
        <is>
          <t>سرعة النتائج</t>
        </is>
      </c>
      <c r="B15" s="6" t="inlineStr">
        <is>
          <t>الاستدامة</t>
        </is>
      </c>
      <c r="C15" s="6" t="inlineStr">
        <is>
          <t>لا يوجد</t>
        </is>
      </c>
      <c r="D15" s="6" t="inlineStr">
        <is>
          <t>—</t>
        </is>
      </c>
      <c r="E15" s="6" t="n"/>
      <c r="F15" s="6" t="n"/>
      <c r="G15" s="6" t="n"/>
      <c r="H15" s="6" t="n"/>
    </row>
    <row r="16">
      <c r="A16" s="6" t="inlineStr">
        <is>
          <t>قابلية القياس</t>
        </is>
      </c>
      <c r="B16" s="6" t="inlineStr">
        <is>
          <t>الاستدامة</t>
        </is>
      </c>
      <c r="C16" s="6" t="inlineStr">
        <is>
          <t>0.2951</t>
        </is>
      </c>
      <c r="D16" s="6" t="inlineStr">
        <is>
          <t>محتوى</t>
        </is>
      </c>
      <c r="E16" s="6" t="n"/>
      <c r="F16" s="6" t="n"/>
      <c r="G16" s="6" t="n"/>
      <c r="H16" s="6" t="n"/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"/>
  <sheetViews>
    <sheetView rightToLeft="1"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4" customWidth="1" min="3" max="3"/>
    <col width="22" customWidth="1" min="4" max="4"/>
    <col width="24" customWidth="1" min="5" max="5"/>
    <col width="14" customWidth="1" min="6" max="6"/>
  </cols>
  <sheetData>
    <row r="1">
      <c r="A1" s="1" t="inlineStr">
        <is>
          <t>النشاط</t>
        </is>
      </c>
      <c r="B1" s="1" t="inlineStr">
        <is>
          <t>المسؤول</t>
        </is>
      </c>
      <c r="C1" s="1" t="inlineStr">
        <is>
          <t>الموعد</t>
        </is>
      </c>
      <c r="D1" s="1" t="inlineStr">
        <is>
          <t>الموارد</t>
        </is>
      </c>
      <c r="E1" s="1" t="inlineStr">
        <is>
          <t>مؤشر النجاح</t>
        </is>
      </c>
      <c r="F1" s="1" t="inlineStr">
        <is>
          <t>الحالة</t>
        </is>
      </c>
    </row>
    <row r="2">
      <c r="A2" t="inlineStr"/>
      <c r="B2" t="inlineStr"/>
      <c r="C2" t="inlineStr"/>
      <c r="D2" t="inlineStr"/>
      <c r="E2" t="inlineStr"/>
      <c r="F2" t="inlineStr"/>
    </row>
    <row r="3">
      <c r="A3" t="inlineStr"/>
      <c r="B3" t="inlineStr"/>
      <c r="C3" t="inlineStr"/>
      <c r="D3" t="inlineStr"/>
      <c r="E3" t="inlineStr"/>
      <c r="F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2026-10-08T19:33:54Z</dcterms:created>
  <dcterms:modified xmlns:dcterms="http://purl.org/dc/terms/" xmlns:xsi="http://www.w3.org/2001/XMLSchema-instance" xsi:type="dcterms:W3CDTF">2026-10-08T19:33:54Z</dcterms:modified>
</cp:coreProperties>
</file>